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3e1a89759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783dff633af8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A44"/>
      <x:name val="Arial"/>
    </x:font>
    <x:font>
      <x:b/>
      <x:sz val="17"/>
      <x:color rgb="FF172A44"/>
      <x:name val="Arial"/>
    </x:font>
    <x:font>
      <x:b/>
      <x:sz val="11"/>
      <x:color rgb="FFFFFFFF"/>
      <x:name val="Arial"/>
    </x:font>
    <x:font>
      <x:i/>
      <x:sz val="10"/>
      <x:color rgb="FF51627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A44"/>
      </x:patternFill>
    </x:fill>
    <x:fill>
      <x:patternFill patternType="solid">
        <x:fgColor rgb="FFF1F5F9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7613F"/>
      </x:font>
      <x:fill>
        <x:patternFill patternType="solid">
          <x:bgColor rgb="FFDCF3E8"/>
        </x:patternFill>
      </x:fill>
    </x:dxf>
    <x:dxf>
      <x:font>
        <x:b/>
        <x:color rgb="FF17448D"/>
      </x:font>
      <x:fill>
        <x:patternFill patternType="solid">
          <x:bgColor rgb="FFDBEAFE"/>
        </x:patternFill>
      </x:fill>
    </x:dxf>
    <x:dxf>
      <x:font>
        <x:b/>
        <x:color rgb="FF825C00"/>
      </x:font>
      <x:fill>
        <x:patternFill patternType="solid">
          <x:bgColor rgb="FFFEF0CC"/>
        </x:patternFill>
      </x:fill>
    </x:dxf>
    <x:dxf>
      <x:font>
        <x:b/>
        <x:color rgb="FF65438C"/>
      </x:font>
      <x:fill>
        <x:patternFill patternType="solid">
          <x:bgColor rgb="FFEDE5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e23a4035b4c1c" /><Relationship Type="http://schemas.openxmlformats.org/officeDocument/2006/relationships/theme" Target="/xl/theme/theme1.xml" Id="R4c205d540f6848f0" /><Relationship Type="http://schemas.openxmlformats.org/officeDocument/2006/relationships/sharedStrings" Target="/xl/sharedStrings.xml" Id="R76d6df9369714987" /><Relationship Type="http://schemas.openxmlformats.org/officeDocument/2006/relationships/worksheet" Target="/xl/worksheets/sheet1.xml" Id="R783dff633af844f1" /></Relationships>
</file>

<file path=xl/tables/table1.xml><?xml version="1.0" encoding="utf-8"?>
<x:table xmlns:x="http://schemas.openxmlformats.org/spreadsheetml/2006/main" id="1" name="RoadmapTasks" displayName="RoadmapTasks" ref="A10:I24" headerRowCount="1" totalsRowCount="0" totalsRowShown="0">
  <x:tableColumns count="9">
    <x:tableColumn id="1" name="ID"/>
    <x:tableColumn id="2" name="Phase"/>
    <x:tableColumn id="3" name="Deliverable"/>
    <x:tableColumn id="4" name="Status"/>
    <x:tableColumn id="5" name="Priority"/>
    <x:tableColumn id="6" name="Depends on"/>
    <x:tableColumn id="7" name="Acceptance criterion"/>
    <x:tableColumn id="8" name="Help wanted"/>
    <x:tableColumn id="9" name="Code /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c3e01e929c4591" /></Relationships>
</file>

<file path=xl/worksheets/sheet1.xml><?xml version="1.0" encoding="utf-8"?>
<x:worksheet xmlns:x="http://schemas.openxmlformats.org/spreadsheetml/2006/main">
  <x:sheetPr>
    <x:tabColor rgb="FF172A44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3" hidden="0" customWidth="1"/>
    <x:col min="4" max="4" width="17" hidden="0" customWidth="1"/>
    <x:col min="5" max="5" width="12" hidden="0" customWidth="1"/>
    <x:col min="6" max="6" width="17" hidden="0" customWidth="1"/>
    <x:col min="7" max="7" width="67" hidden="0" customWidth="1"/>
    <x:col min="8" max="8" width="24" hidden="0" customWidth="1"/>
    <x:col min="9" max="9" width="6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MaleCNS development roadmap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Student project • proposed sequence • no delivery dates committed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Milestones</x:v>
      </x:c>
      <x:c r="B5" s="1" t="n">
        <x:f>COUNTA(A11:A24)</x:f>
        <x:v>14</x:v>
      </x:c>
      <x:c r="C5" s="1"/>
      <x:c r="D5" s="1" t="str">
        <x:v>Status and priority are editable. Mark Done only with evidence.</x:v>
      </x:c>
      <x:c r="E5" s="1"/>
      <x:c r="F5" s="1"/>
      <x:c r="G5" s="1"/>
      <x:c r="H5" s="1"/>
      <x:c r="I5" s="1"/>
    </x:row>
    <x:row r="6">
      <x:c r="A6" s="1" t="str">
        <x:v>Next</x:v>
      </x:c>
      <x:c r="B6" s="1" t="n">
        <x:f>COUNTIFS(D11:D24,"Next")</x:f>
        <x:v>3</x:v>
      </x:c>
      <x:c r="C6" s="1"/>
      <x:c r="D6" s="1" t="str">
        <x:v>Initial plan derived from source inspection, not runtime validation.</x:v>
      </x:c>
      <x:c r="E6" s="1"/>
      <x:c r="F6" s="1"/>
      <x:c r="G6" s="1"/>
      <x:c r="H6" s="1"/>
      <x:c r="I6" s="1"/>
    </x:row>
    <x:row r="7">
      <x:c r="A7" s="1" t="str">
        <x:v>Done</x:v>
      </x:c>
      <x:c r="B7" s="1" t="n">
        <x:f>COUNTIFS(D11:D24,"Done")</x:f>
        <x:v>0</x:v>
      </x:c>
      <x:c r="C7" s="1"/>
      <x:c r="D7" s="1"/>
      <x:c r="E7" s="1"/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 ht="32" customHeight="1">
      <x:c r="A10" s="7" t="str">
        <x:v>ID</x:v>
      </x:c>
      <x:c r="B10" s="7" t="str">
        <x:v>Phase</x:v>
      </x:c>
      <x:c r="C10" s="7" t="str">
        <x:v>Deliverable</x:v>
      </x:c>
      <x:c r="D10" s="7" t="str">
        <x:v>Status</x:v>
      </x:c>
      <x:c r="E10" s="7" t="str">
        <x:v>Priority</x:v>
      </x:c>
      <x:c r="F10" s="7" t="str">
        <x:v>Depends on</x:v>
      </x:c>
      <x:c r="G10" s="7" t="str">
        <x:v>Acceptance criterion</x:v>
      </x:c>
      <x:c r="H10" s="7" t="str">
        <x:v>Help wanted</x:v>
      </x:c>
      <x:c r="I10" s="7" t="str">
        <x:v>Code / evidence</x:v>
      </x:c>
    </x:row>
    <x:row r="11" ht="74" customHeight="1">
      <x:c r="A11" s="9" t="str">
        <x:v>R01</x:v>
      </x:c>
      <x:c r="B11" s="9" t="str">
        <x:v>01 Reproducibility</x:v>
      </x:c>
      <x:c r="C11" s="9" t="str">
        <x:v>Document the exact data pipeline</x:v>
      </x:c>
      <x:c r="D11" s="11" t="str">
        <x:v>Next</x:v>
      </x:c>
      <x:c r="E11" s="11" t="str">
        <x:v>High</x:v>
      </x:c>
      <x:c r="F11" s="9" t="str">
        <x:v>None</x:v>
      </x:c>
      <x:c r="G11" s="9" t="str">
        <x:v>A fresh machine produces compatible neuron tables and matrices.</x:v>
      </x:c>
      <x:c r="H11" s="9" t="str">
        <x:v>Data engineering</x:v>
      </x:c>
      <x:c r="I11" s="9" t="str">
        <x:v>data/README.md; lif_engine_realtime.py</x:v>
      </x:c>
    </x:row>
    <x:row r="12" ht="74" customHeight="1">
      <x:c r="A12" s="10" t="str">
        <x:v>R02</x:v>
      </x:c>
      <x:c r="B12" s="10" t="str">
        <x:v>01 Reproducibility</x:v>
      </x:c>
      <x:c r="C12" s="10" t="str">
        <x:v>Select compatible script versions</x:v>
      </x:c>
      <x:c r="D12" s="11" t="str">
        <x:v>Next</x:v>
      </x:c>
      <x:c r="E12" s="11" t="str">
        <x:v>High</x:v>
      </x:c>
      <x:c r="F12" s="10" t="str">
        <x:v>None</x:v>
      </x:c>
      <x:c r="G12" s="10" t="str">
        <x:v>One documented engine / vision / overlay combination.</x:v>
      </x:c>
      <x:c r="H12" s="10" t="str">
        <x:v>Python architecture</x:v>
      </x:c>
      <x:c r="I12" s="10" t="str">
        <x:v>obs_overlay_server_v6.py; vision_bridge_v13.py</x:v>
      </x:c>
    </x:row>
    <x:row r="13" ht="74" customHeight="1">
      <x:c r="A13" s="9" t="str">
        <x:v>R03</x:v>
      </x:c>
      <x:c r="B13" s="9" t="str">
        <x:v>01 Reproducibility</x:v>
      </x:c>
      <x:c r="C13" s="9" t="str">
        <x:v>Lock and verify the environment</x:v>
      </x:c>
      <x:c r="D13" s="11" t="str">
        <x:v>Planned</x:v>
      </x:c>
      <x:c r="E13" s="11" t="str">
        <x:v>High</x:v>
      </x:c>
      <x:c r="F13" s="9" t="str">
        <x:v>R02</x:v>
      </x:c>
      <x:c r="G13" s="9" t="str">
        <x:v>Clean Python 3.12 install with tested dependency versions.</x:v>
      </x:c>
      <x:c r="H13" s="9" t="str">
        <x:v>Packaging</x:v>
      </x:c>
      <x:c r="I13" s="9" t="str">
        <x:v>requirements.txt</x:v>
      </x:c>
    </x:row>
    <x:row r="14" ht="74" customHeight="1">
      <x:c r="A14" s="10" t="str">
        <x:v>R04</x:v>
      </x:c>
      <x:c r="B14" s="10" t="str">
        <x:v>02 Neural baseline</x:v>
      </x:c>
      <x:c r="C14" s="10" t="str">
        <x:v>Validate matrix and neuron alignment</x:v>
      </x:c>
      <x:c r="D14" s="11" t="str">
        <x:v>Planned</x:v>
      </x:c>
      <x:c r="E14" s="11" t="str">
        <x:v>High</x:v>
      </x:c>
      <x:c r="F14" s="10" t="str">
        <x:v>R01</x:v>
      </x:c>
      <x:c r="G14" s="10" t="str">
        <x:v>Checked dimensions, ordering, signs and matrix orientation.</x:v>
      </x:c>
      <x:c r="H14" s="10" t="str">
        <x:v>Scientific computing</x:v>
      </x:c>
      <x:c r="I14" s="10" t="str">
        <x:v>lif_engine_realtime.py; brain_session.py</x:v>
      </x:c>
    </x:row>
    <x:row r="15" ht="74" customHeight="1">
      <x:c r="A15" s="9" t="str">
        <x:v>R05</x:v>
      </x:c>
      <x:c r="B15" s="9" t="str">
        <x:v>02 Neural baseline</x:v>
      </x:c>
      <x:c r="C15" s="9" t="str">
        <x:v>Establish seeded neural baselines</x:v>
      </x:c>
      <x:c r="D15" s="11" t="str">
        <x:v>Planned</x:v>
      </x:c>
      <x:c r="E15" s="11" t="str">
        <x:v>High</x:v>
      </x:c>
      <x:c r="F15" s="9" t="str">
        <x:v>R03, R04</x:v>
      </x:c>
      <x:c r="G15" s="9" t="str">
        <x:v>Repeatable stimulus and recovery results with recorded seeds.</x:v>
      </x:c>
      <x:c r="H15" s="9" t="str">
        <x:v>Simulation testing</x:v>
      </x:c>
      <x:c r="I15" s="9" t="str">
        <x:v>endogenous_pulse_recovery_test.py; test_data.py</x:v>
      </x:c>
    </x:row>
    <x:row r="16" ht="74" customHeight="1">
      <x:c r="A16" s="10" t="str">
        <x:v>R06</x:v>
      </x:c>
      <x:c r="B16" s="10" t="str">
        <x:v>03 Visual pathway</x:v>
      </x:c>
      <x:c r="C16" s="10" t="str">
        <x:v>Validate left / right and retina mapping</x:v>
      </x:c>
      <x:c r="D16" s="11" t="str">
        <x:v>Planned</x:v>
      </x:c>
      <x:c r="E16" s="11" t="str">
        <x:v>High</x:v>
      </x:c>
      <x:c r="F16" s="10" t="str">
        <x:v>R01, R04</x:v>
      </x:c>
      <x:c r="G16" s="10" t="str">
        <x:v>Controlled stimuli produce documented laterality responses.</x:v>
      </x:c>
      <x:c r="H16" s="10" t="str">
        <x:v>Vision / neuroscience</x:v>
      </x:c>
      <x:c r="I16" s="10" t="str">
        <x:v>build_visual_laterality_indices.py; visual_laterality_response_test.py</x:v>
      </x:c>
    </x:row>
    <x:row r="17" ht="74" customHeight="1">
      <x:c r="A17" s="9" t="str">
        <x:v>R07</x:v>
      </x:c>
      <x:c r="B17" s="9" t="str">
        <x:v>03 Visual pathway</x:v>
      </x:c>
      <x:c r="C17" s="9" t="str">
        <x:v>Profile capture and encoding latency</x:v>
      </x:c>
      <x:c r="D17" s="11" t="str">
        <x:v>Planned</x:v>
      </x:c>
      <x:c r="E17" s="11" t="str">
        <x:v>Medium</x:v>
      </x:c>
      <x:c r="F17" s="9" t="str">
        <x:v>R02, R06</x:v>
      </x:c>
      <x:c r="G17" s="9" t="str">
        <x:v>Latency measurements with hardware and capture settings.</x:v>
      </x:c>
      <x:c r="H17" s="9" t="str">
        <x:v>Optimization</x:v>
      </x:c>
      <x:c r="I17" s="9" t="str">
        <x:v>screen_vision_test_v3.py; vision_bridge_v13.py</x:v>
      </x:c>
    </x:row>
    <x:row r="18" ht="74" customHeight="1">
      <x:c r="A18" s="10" t="str">
        <x:v>R08</x:v>
      </x:c>
      <x:c r="B18" s="10" t="str">
        <x:v>04 Motor and body</x:v>
      </x:c>
      <x:c r="C18" s="10" t="str">
        <x:v>Check neural-to-motor causality</x:v>
      </x:c>
      <x:c r="D18" s="11" t="str">
        <x:v>Planned</x:v>
      </x:c>
      <x:c r="E18" s="11" t="str">
        <x:v>High</x:v>
      </x:c>
      <x:c r="F18" s="10" t="str">
        <x:v>R05</x:v>
      </x:c>
      <x:c r="G18" s="10" t="str">
        <x:v>Controlled activation and ablation tests with clear metrics.</x:v>
      </x:c>
      <x:c r="H18" s="10" t="str">
        <x:v>Simulation testing</x:v>
      </x:c>
      <x:c r="I18" s="10" t="str">
        <x:v>test_dn_motor_causality.py; motor_decoder_v2.py</x:v>
      </x:c>
    </x:row>
    <x:row r="19" ht="74" customHeight="1">
      <x:c r="A19" s="9" t="str">
        <x:v>R09</x:v>
      </x:c>
      <x:c r="B19" s="9" t="str">
        <x:v>04 Motor and body</x:v>
      </x:c>
      <x:c r="C19" s="9" t="str">
        <x:v>Verify movement and environment contacts</x:v>
      </x:c>
      <x:c r="D19" s="11" t="str">
        <x:v>Planned</x:v>
      </x:c>
      <x:c r="E19" s="11" t="str">
        <x:v>Medium</x:v>
      </x:c>
      <x:c r="F19" s="9" t="str">
        <x:v>R02, R08</x:v>
      </x:c>
      <x:c r="G19" s="9" t="str">
        <x:v>Repeatable grounded, airborne and collision scenarios.</x:v>
      </x:c>
      <x:c r="H19" s="9" t="str">
        <x:v>Physics / integration</x:v>
      </x:c>
      <x:c r="I19" s="9" t="str">
        <x:v>body/character_controller.py; world/obs_habitat.py</x:v>
      </x:c>
    </x:row>
    <x:row r="20" ht="74" customHeight="1">
      <x:c r="A20" s="10" t="str">
        <x:v>R10</x:v>
      </x:c>
      <x:c r="B20" s="10" t="str">
        <x:v>05 Integrated demo</x:v>
      </x:c>
      <x:c r="C20" s="10" t="str">
        <x:v>Build one controlled end-to-end scenario</x:v>
      </x:c>
      <x:c r="D20" s="11" t="str">
        <x:v>Planned</x:v>
      </x:c>
      <x:c r="E20" s="11" t="str">
        <x:v>High</x:v>
      </x:c>
      <x:c r="F20" s="10" t="str">
        <x:v>R06, R07, R09</x:v>
      </x:c>
      <x:c r="G20" s="10" t="str">
        <x:v>A documented input-to-behaviour demo that can be rerun.</x:v>
      </x:c>
      <x:c r="H20" s="10" t="str">
        <x:v>Integration</x:v>
      </x:c>
      <x:c r="I20" s="10" t="str">
        <x:v>obs_overlay_server_v6.py; vision_bridge_v13.py</x:v>
      </x:c>
    </x:row>
    <x:row r="21" ht="74" customHeight="1">
      <x:c r="A21" s="9" t="str">
        <x:v>R11</x:v>
      </x:c>
      <x:c r="B21" s="9" t="str">
        <x:v>05 Integrated demo</x:v>
      </x:c>
      <x:c r="C21" s="9" t="str">
        <x:v>Evaluate optional Gemini perception</x:v>
      </x:c>
      <x:c r="D21" s="11" t="str">
        <x:v>Exploratory</x:v>
      </x:c>
      <x:c r="E21" s="11" t="str">
        <x:v>Low</x:v>
      </x:c>
      <x:c r="F21" s="9" t="str">
        <x:v>R10</x:v>
      </x:c>
      <x:c r="G21" s="9" t="str">
        <x:v>Document usefulness, cost, privacy and failure handling.</x:v>
      </x:c>
      <x:c r="H21" s="9" t="str">
        <x:v>Applied AI</x:v>
      </x:c>
      <x:c r="I21" s="9" t="str">
        <x:v>gemini_vision.py; vision/gemini_vision.py</x:v>
      </x:c>
    </x:row>
    <x:row r="22" ht="74" customHeight="1">
      <x:c r="A22" s="10" t="str">
        <x:v>R12</x:v>
      </x:c>
      <x:c r="B22" s="10" t="str">
        <x:v>06 Evidence and release</x:v>
      </x:c>
      <x:c r="C22" s="10" t="str">
        <x:v>Benchmark the complete loop</x:v>
      </x:c>
      <x:c r="D22" s="11" t="str">
        <x:v>Planned</x:v>
      </x:c>
      <x:c r="E22" s="11" t="str">
        <x:v>Medium</x:v>
      </x:c>
      <x:c r="F22" s="10" t="str">
        <x:v>R10</x:v>
      </x:c>
      <x:c r="G22" s="10" t="str">
        <x:v>Publish measured latency and stability with reproducible setup.</x:v>
      </x:c>
      <x:c r="H22" s="10" t="str">
        <x:v>Performance</x:v>
      </x:c>
      <x:c r="I22" s="10" t="str">
        <x:v>lif_engine_realtime.py; docs/ROADMAP.md</x:v>
      </x:c>
    </x:row>
    <x:row r="23" ht="74" customHeight="1">
      <x:c r="A23" s="9" t="str">
        <x:v>R13</x:v>
      </x:c>
      <x:c r="B23" s="9" t="str">
        <x:v>06 Evidence and release</x:v>
      </x:c>
      <x:c r="C23" s="9" t="str">
        <x:v>Record a clean demonstration</x:v>
      </x:c>
      <x:c r="D23" s="11" t="str">
        <x:v>Planned</x:v>
      </x:c>
      <x:c r="E23" s="11" t="str">
        <x:v>Medium</x:v>
      </x:c>
      <x:c r="F23" s="9" t="str">
        <x:v>R10, R12</x:v>
      </x:c>
      <x:c r="G23" s="9" t="str">
        <x:v>A demo without private desktop content, with known limitations.</x:v>
      </x:c>
      <x:c r="H23" s="9" t="str">
        <x:v>Documentation</x:v>
      </x:c>
      <x:c r="I23" s="9" t="str">
        <x:v>README.md</x:v>
      </x:c>
    </x:row>
    <x:row r="24" ht="74" customHeight="1">
      <x:c r="A24" s="10" t="str">
        <x:v>R14</x:v>
      </x:c>
      <x:c r="B24" s="10" t="str">
        <x:v>06 Evidence and release</x:v>
      </x:c>
      <x:c r="C24" s="10" t="str">
        <x:v>Document asset provenance and choose code license</x:v>
      </x:c>
      <x:c r="D24" s="11" t="str">
        <x:v>Next</x:v>
      </x:c>
      <x:c r="E24" s="11" t="str">
        <x:v>High</x:v>
      </x:c>
      <x:c r="F24" s="10" t="str">
        <x:v>None</x:v>
      </x:c>
      <x:c r="G24" s="10" t="str">
        <x:v>Code, data and model terms clearly distinguished.</x:v>
      </x:c>
      <x:c r="H24" s="10" t="str">
        <x:v>Project maintenance</x:v>
      </x:c>
      <x:c r="I24" s="10" t="str">
        <x:v>README.md; fly_master.glb; assets/vendor/fly-renderer.bundle.js</x:v>
      </x:c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2" t="str">
        <x:v>Source: project source review and maintainer direction. Dataset: https://male-cns.janelia.org/</x:v>
      </x:c>
      <x:c r="B26" s="1"/>
      <x:c r="C26" s="1"/>
      <x:c r="D26" s="1"/>
      <x:c r="E26" s="1"/>
      <x:c r="F26" s="1"/>
      <x:c r="G26" s="1"/>
      <x:c r="H26" s="1"/>
      <x:c r="I26" s="1"/>
    </x:row>
  </x:sheetData>
  <x:conditionalFormatting sqref="D11:D24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Next"/>
    <x:cfRule type="containsText" dxfId="3" priority="4" operator="containsText" text="Exploratory"/>
  </x:conditionalFormatting>
  <x:dataValidations count="2">
    <x:dataValidation type="list" sqref="D11:D24">
      <x:formula1>"Next,Planned,Exploratory,In progress,Done"</x:formula1>
    </x:dataValidation>
    <x:dataValidation type="list" sqref="E11:E2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c3e01e929c4591"/>
  </x:tableParts>
</x:worksheet>
</file>